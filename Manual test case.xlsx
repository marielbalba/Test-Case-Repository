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22fea1988d9cb7/Documents/Portfolio Projects/"/>
    </mc:Choice>
  </mc:AlternateContent>
  <xr:revisionPtr revIDLastSave="68" documentId="8_{350D5636-DADA-46AB-9DAF-56A158BF459B}" xr6:coauthVersionLast="47" xr6:coauthVersionMax="47" xr10:uidLastSave="{E63F6722-032A-4B06-A944-65EA61E151E9}"/>
  <bookViews>
    <workbookView xWindow="-108" yWindow="-108" windowWidth="23256" windowHeight="12456" xr2:uid="{2427B23D-20B8-46EA-8CEA-21BA821D631C}"/>
  </bookViews>
  <sheets>
    <sheet name="Summary" sheetId="1" r:id="rId1"/>
    <sheet name="Test Case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F13" i="1"/>
  <c r="E13" i="1"/>
  <c r="C13" i="1"/>
  <c r="E12" i="1"/>
  <c r="F12" i="1"/>
  <c r="D12" i="1"/>
  <c r="C12" i="1"/>
  <c r="M14" i="1"/>
  <c r="M13" i="1"/>
  <c r="M12" i="1"/>
  <c r="L14" i="1"/>
  <c r="L13" i="1"/>
  <c r="L12" i="1"/>
  <c r="K14" i="1"/>
  <c r="K13" i="1"/>
  <c r="K12" i="1"/>
  <c r="J12" i="1"/>
  <c r="J14" i="1"/>
  <c r="J13" i="1"/>
  <c r="N14" i="1" l="1"/>
  <c r="G13" i="1"/>
  <c r="G12" i="1"/>
  <c r="N13" i="1"/>
  <c r="M16" i="1"/>
  <c r="K16" i="1"/>
  <c r="N12" i="1"/>
  <c r="J16" i="1"/>
  <c r="L16" i="1"/>
  <c r="C15" i="1"/>
  <c r="F15" i="1"/>
  <c r="E15" i="1"/>
  <c r="D15" i="1"/>
  <c r="G15" i="1" l="1"/>
  <c r="N16" i="1"/>
</calcChain>
</file>

<file path=xl/sharedStrings.xml><?xml version="1.0" encoding="utf-8"?>
<sst xmlns="http://schemas.openxmlformats.org/spreadsheetml/2006/main" count="267" uniqueCount="159">
  <si>
    <t>Category</t>
  </si>
  <si>
    <t>Functional</t>
  </si>
  <si>
    <t>Non-functional</t>
  </si>
  <si>
    <t>Total</t>
  </si>
  <si>
    <t>Passed</t>
  </si>
  <si>
    <t>Failed</t>
  </si>
  <si>
    <t>Completion</t>
  </si>
  <si>
    <r>
      <t xml:space="preserve">Start Date: </t>
    </r>
    <r>
      <rPr>
        <sz val="11"/>
        <color theme="1"/>
        <rFont val="Aptos Narrow"/>
        <family val="2"/>
        <scheme val="minor"/>
      </rPr>
      <t>June 1, 2026</t>
    </r>
  </si>
  <si>
    <t>ID</t>
  </si>
  <si>
    <t>Priority</t>
  </si>
  <si>
    <t>Title</t>
  </si>
  <si>
    <t>Preconditions</t>
  </si>
  <si>
    <t>Test Steps</t>
  </si>
  <si>
    <t>Expected Result</t>
  </si>
  <si>
    <t>Status</t>
  </si>
  <si>
    <t>Remarks</t>
  </si>
  <si>
    <t>Module / Feature</t>
  </si>
  <si>
    <t>Overall</t>
  </si>
  <si>
    <t>High</t>
  </si>
  <si>
    <t>Low</t>
  </si>
  <si>
    <t>Test Case ID</t>
  </si>
  <si>
    <t>Non-Functional</t>
  </si>
  <si>
    <t>N/A</t>
  </si>
  <si>
    <t>Login form</t>
  </si>
  <si>
    <t>Cart page</t>
  </si>
  <si>
    <t>TC-F-01</t>
  </si>
  <si>
    <t>TC-F-02</t>
  </si>
  <si>
    <t>TC-F-04</t>
  </si>
  <si>
    <t>TC-F-03</t>
  </si>
  <si>
    <t>TC-F-05</t>
  </si>
  <si>
    <t>TC-F-06</t>
  </si>
  <si>
    <t>TC-F-07</t>
  </si>
  <si>
    <t>TC-F-08</t>
  </si>
  <si>
    <t>TC-F-09</t>
  </si>
  <si>
    <t>TC-F-10</t>
  </si>
  <si>
    <t>TC-F-11</t>
  </si>
  <si>
    <t>Verify user can login with valid credentials</t>
  </si>
  <si>
    <t>Verify user cannot login with empty/invalid credentials</t>
  </si>
  <si>
    <t>TC-F-12</t>
  </si>
  <si>
    <t>TC-F-13</t>
  </si>
  <si>
    <t>TC-F-14</t>
  </si>
  <si>
    <t>1. User is successfully logged in</t>
  </si>
  <si>
    <t>1. Input invalid/empty credentials
2. Click login button</t>
  </si>
  <si>
    <t>1. Error message is displayed
2. User cannot login</t>
  </si>
  <si>
    <t>TC-F-15</t>
  </si>
  <si>
    <t>TC-F-16</t>
  </si>
  <si>
    <t>TC-F-17</t>
  </si>
  <si>
    <t>TC-F-18</t>
  </si>
  <si>
    <t>TC-F-19</t>
  </si>
  <si>
    <t>TC-F-20</t>
  </si>
  <si>
    <t>Verify empty cart page displays correct message</t>
  </si>
  <si>
    <t>1. No product is added to cart</t>
  </si>
  <si>
    <t>1. Navigate to Cart page</t>
  </si>
  <si>
    <t>1. Message “Your cart is empty” is displayed</t>
  </si>
  <si>
    <t>1. User is on Cart page
2.  Cart is empty</t>
  </si>
  <si>
    <t>1. User is on Cart page
2.  Cart has at least 1 product</t>
  </si>
  <si>
    <t>Verify user can increase and decrease quantity of the product</t>
  </si>
  <si>
    <t>1. Click “+” and “–” buttons</t>
  </si>
  <si>
    <t>1. User is on Cart page
2. Cart contains product with default quantity = 1</t>
  </si>
  <si>
    <t>Verify system prevents quantity below 1</t>
  </si>
  <si>
    <t>1.  Attempt to decrement below 1</t>
  </si>
  <si>
    <t>Verify user can remove product from cart</t>
  </si>
  <si>
    <t xml:space="preserve">1. User is on Cart page
2. Cart contains product </t>
  </si>
  <si>
    <t>1. Click trash icon</t>
  </si>
  <si>
    <t>1. Observe and click "Proceed to Checkout" button</t>
  </si>
  <si>
    <t>1. Button is visible
2. User is redirected to Checkout page</t>
  </si>
  <si>
    <t>1. Click “Continue Shopping” button</t>
  </si>
  <si>
    <t>Verify "Start Shopping" button is visible and clickable</t>
  </si>
  <si>
    <t>1. Observe and click “Start Shopping” button</t>
  </si>
  <si>
    <t>1. “Start Shopping” button is visible
2. User is redirected to shop page</t>
  </si>
  <si>
    <t xml:space="preserve">Verify cart applies free shipping when subtotal reaches $50 </t>
  </si>
  <si>
    <r>
      <t xml:space="preserve">Status: </t>
    </r>
    <r>
      <rPr>
        <sz val="11"/>
        <color theme="1"/>
        <rFont val="Aptos Narrow"/>
        <family val="2"/>
        <scheme val="minor"/>
      </rPr>
      <t>Completed</t>
    </r>
  </si>
  <si>
    <r>
      <t xml:space="preserve">Project: </t>
    </r>
    <r>
      <rPr>
        <sz val="11"/>
        <color theme="1"/>
        <rFont val="Aptos Narrow"/>
        <family val="2"/>
        <scheme val="minor"/>
      </rPr>
      <t>E-commerce Website</t>
    </r>
  </si>
  <si>
    <t>Medium</t>
  </si>
  <si>
    <t>Dashboard</t>
  </si>
  <si>
    <t>In Progress</t>
  </si>
  <si>
    <t>Test Case Summary By  Category</t>
  </si>
  <si>
    <t>Test Case Summary By  Priority</t>
  </si>
  <si>
    <r>
      <t>Target End Date:</t>
    </r>
    <r>
      <rPr>
        <sz val="11"/>
        <color theme="1"/>
        <rFont val="Aptos Narrow"/>
        <family val="2"/>
        <scheme val="minor"/>
      </rPr>
      <t xml:space="preserve"> June 12, 2026</t>
    </r>
  </si>
  <si>
    <r>
      <t xml:space="preserve">Actual End Date: </t>
    </r>
    <r>
      <rPr>
        <sz val="11"/>
        <color theme="1"/>
        <rFont val="Aptos Narrow"/>
        <family val="2"/>
        <scheme val="minor"/>
      </rPr>
      <t>June 10, 2026</t>
    </r>
  </si>
  <si>
    <r>
      <t xml:space="preserve">Signoff Build: </t>
    </r>
    <r>
      <rPr>
        <sz val="11"/>
        <color theme="1"/>
        <rFont val="Aptos Narrow"/>
        <family val="2"/>
        <scheme val="minor"/>
      </rPr>
      <t>1.2.1</t>
    </r>
  </si>
  <si>
    <r>
      <t xml:space="preserve">QA Lead: </t>
    </r>
    <r>
      <rPr>
        <sz val="11"/>
        <color theme="1"/>
        <rFont val="Aptos Narrow"/>
        <family val="2"/>
        <scheme val="minor"/>
      </rPr>
      <t>Mariel Balba</t>
    </r>
  </si>
  <si>
    <t>1. Input valid login credentials
2. Click login button</t>
  </si>
  <si>
    <r>
      <rPr>
        <b/>
        <sz val="11"/>
        <color theme="1"/>
        <rFont val="Aptos Narrow"/>
        <family val="2"/>
        <scheme val="minor"/>
      </rPr>
      <t>Jira Dashboard:</t>
    </r>
    <r>
      <rPr>
        <sz val="11"/>
        <color theme="1"/>
        <rFont val="Aptos Narrow"/>
        <family val="2"/>
        <scheme val="minor"/>
      </rPr>
      <t xml:space="preserve"> </t>
    </r>
    <r>
      <rPr>
        <u/>
        <sz val="11"/>
        <color theme="3" tint="0.249977111117893"/>
        <rFont val="Aptos Narrow"/>
        <family val="2"/>
        <scheme val="minor"/>
      </rPr>
      <t>link</t>
    </r>
  </si>
  <si>
    <t>Login button</t>
  </si>
  <si>
    <t>1. Click login button in navigation bar</t>
  </si>
  <si>
    <t>1. Login page loads successfully</t>
  </si>
  <si>
    <t>1. User is on any page except Login page</t>
  </si>
  <si>
    <t>1. User is on Login page
2. User has existing account</t>
  </si>
  <si>
    <t>Verify user can access Login page</t>
  </si>
  <si>
    <t>Bug Link</t>
  </si>
  <si>
    <t>Verify user can access Cart page</t>
  </si>
  <si>
    <t>1. User is on any page except Cart page</t>
  </si>
  <si>
    <t>1. Click cart button in navigation bar</t>
  </si>
  <si>
    <t>1. Cart page loads successfully</t>
  </si>
  <si>
    <t>1. Observe product name, description, and price</t>
  </si>
  <si>
    <t>1. Displays correct product name, description, and price</t>
  </si>
  <si>
    <t>1. Click “Sign up”</t>
  </si>
  <si>
    <t>1. Sign up page loads successfully</t>
  </si>
  <si>
    <t>1. User is on Login page</t>
  </si>
  <si>
    <t>1. Click “Forgot your password?” link</t>
  </si>
  <si>
    <t>1. Reset password page loads successfully</t>
  </si>
  <si>
    <t>1. Page loads within 3 seconds</t>
  </si>
  <si>
    <t>1. User is on any page other than Login page</t>
  </si>
  <si>
    <t>Verify system prevents SQL injection in login fields</t>
  </si>
  <si>
    <t>Verify product details are displayed correctly</t>
  </si>
  <si>
    <t>Verify order summary subtotal calculation</t>
  </si>
  <si>
    <t>Verify shipping cost is displayed correctly</t>
  </si>
  <si>
    <t>Verify total calculation</t>
  </si>
  <si>
    <t>Verify cart icon shows correct item count</t>
  </si>
  <si>
    <t>1. Check cart badge count</t>
  </si>
  <si>
    <t>1. User is on Cart page
2. Cart contains products</t>
  </si>
  <si>
    <t>Cart icon</t>
  </si>
  <si>
    <t>TC‑NF‑01</t>
  </si>
  <si>
    <t>TC‑NF‑02</t>
  </si>
  <si>
    <t>TC‑NF‑03</t>
  </si>
  <si>
    <t>TC‑NF‑04</t>
  </si>
  <si>
    <t>TC‑NF‑05</t>
  </si>
  <si>
    <t>TC‑NF‑06</t>
  </si>
  <si>
    <t>TC‑NF‑07</t>
  </si>
  <si>
    <t>1. Open Login page in Chrome, Edge, Firefox</t>
  </si>
  <si>
    <t>1. Page renders consistently</t>
  </si>
  <si>
    <t>1. Navigate to Login page</t>
  </si>
  <si>
    <t>1. Navigate to Login page
2. Use screen reader</t>
  </si>
  <si>
    <t>1. System prevents injection and shows error</t>
  </si>
  <si>
    <t>1. Labels “Email” and “Password” are read aloud correctly</t>
  </si>
  <si>
    <t>1. Product names, prices, and order summary are read aloud correctly</t>
  </si>
  <si>
    <t>1. Screen reader is enabled</t>
  </si>
  <si>
    <t>1. User is on any page other than Cart page</t>
  </si>
  <si>
    <t>1. Observe subtotal amount</t>
  </si>
  <si>
    <t>1. Observe shipping cost</t>
  </si>
  <si>
    <t>1. Shipping cost is correct</t>
  </si>
  <si>
    <t>Verify shipping threshold is displayed correctly</t>
  </si>
  <si>
    <t xml:space="preserve">1. User is on Cart page
2. Subtotal is less than $50 </t>
  </si>
  <si>
    <t>1. Observe shipping threshold display</t>
  </si>
  <si>
    <t>1. Shows remaining amount needed for free shipping</t>
  </si>
  <si>
    <t>1. User is on Cart page
2. Subtotal is $50 or more</t>
  </si>
  <si>
    <t>1. Observe shipping amount and threshold display</t>
  </si>
  <si>
    <t>1. Observe total amount</t>
  </si>
  <si>
    <t>1. Total amount calculation is correct</t>
  </si>
  <si>
    <t>1. Cart icon displays total number of items in cart</t>
  </si>
  <si>
    <t>Verify user can access Reset password page</t>
  </si>
  <si>
    <t>Verify user can navigate to Sign up page from login form</t>
  </si>
  <si>
    <t>1. Quantity updates correctly
2. Subtotal, free shipping treshold, and Total recalculates</t>
  </si>
  <si>
    <t>1. System prevents quantity &lt;1,  disabled button state shown</t>
  </si>
  <si>
    <t>1. Product is removed from cart
2. Cart badge scount updates</t>
  </si>
  <si>
    <t>1. Subtotal computation is correct</t>
  </si>
  <si>
    <t>1. Shipping becomes free
2. Free shipping threshold display diappears</t>
  </si>
  <si>
    <t>Verify “Continue Shopping” button redirects to Shop page</t>
  </si>
  <si>
    <t>1. User redirected to Shop page</t>
  </si>
  <si>
    <t>Verify “Proceed to Checkout” button redirects to Checkout page</t>
  </si>
  <si>
    <t>Verify Login page loads within 3 seconds</t>
  </si>
  <si>
    <t>Verify Login page renders consistently across browsers</t>
  </si>
  <si>
    <r>
      <t xml:space="preserve">1. Enter </t>
    </r>
    <r>
      <rPr>
        <sz val="10"/>
        <color theme="1"/>
        <rFont val="Arial Unicode MS"/>
      </rPr>
      <t>' OR '1'='1</t>
    </r>
    <r>
      <rPr>
        <sz val="11"/>
        <color theme="1"/>
        <rFont val="Aptos Narrow"/>
        <family val="2"/>
        <scheme val="minor"/>
      </rPr>
      <t xml:space="preserve"> in email field 
2. Enter random password 
3. Click “Login”</t>
    </r>
  </si>
  <si>
    <t>Login page</t>
  </si>
  <si>
    <t>Verify Login page supports screen reader accessibility</t>
  </si>
  <si>
    <t>Verify Cart page loads within 3 seconds</t>
  </si>
  <si>
    <t>Verify Cart page renders consistently across browsers</t>
  </si>
  <si>
    <t>Verify Cart page supports screen reader accessibility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</si>
</sst>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u/>
      <sz val="11"/>
      <color theme="3" tint="0.249977111117893"/>
      <name val="Aptos Narrow"/>
      <family val="2"/>
      <scheme val="minor"/>
    </font>
    <font>
      <sz val="10"/>
      <color theme="1"/>
      <name val="Arial Unicode MS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3499862666707357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14999847407452621"/>
      </left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4" xfId="0" applyFill="1" applyBorder="1"/>
    <xf numFmtId="0" fontId="2" fillId="0" borderId="0" xfId="0" applyFont="1" applyAlignment="1">
      <alignment horizontal="left"/>
    </xf>
    <xf numFmtId="0" fontId="2" fillId="0" borderId="0" xfId="0" applyFont="1"/>
    <xf numFmtId="0" fontId="2" fillId="3" borderId="0" xfId="0" applyFont="1" applyFill="1"/>
    <xf numFmtId="0" fontId="1" fillId="6" borderId="2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2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0" fillId="0" borderId="2" xfId="1" applyFont="1" applyBorder="1" applyAlignment="1">
      <alignment horizontal="center" vertical="center"/>
    </xf>
    <xf numFmtId="9" fontId="0" fillId="2" borderId="5" xfId="1" applyFont="1" applyFill="1" applyBorder="1" applyAlignment="1">
      <alignment horizontal="center" vertical="center"/>
    </xf>
    <xf numFmtId="9" fontId="0" fillId="0" borderId="3" xfId="1" applyFont="1" applyBorder="1" applyAlignment="1">
      <alignment horizontal="center" vertical="center"/>
    </xf>
    <xf numFmtId="9" fontId="0" fillId="0" borderId="2" xfId="1" applyFont="1" applyBorder="1" applyAlignment="1">
      <alignment horizontal="center"/>
    </xf>
    <xf numFmtId="9" fontId="0" fillId="2" borderId="5" xfId="1" applyFont="1" applyFill="1" applyBorder="1" applyAlignment="1">
      <alignment horizontal="center"/>
    </xf>
    <xf numFmtId="9" fontId="0" fillId="0" borderId="3" xfId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5" borderId="6" xfId="0" applyFont="1" applyFill="1" applyBorder="1" applyAlignment="1">
      <alignment horizontal="center"/>
    </xf>
    <xf numFmtId="0" fontId="0" fillId="0" borderId="0" xfId="0" applyAlignment="1">
      <alignment horizontal="left" vertical="center" wrapText="1"/>
    </xf>
  </cellXfs>
  <cellStyles count="2">
    <cellStyle name="Normal" xfId="0" builtinId="0"/>
    <cellStyle name="Percent" xfId="1" builtinId="5"/>
  </cellStyles>
  <dxfs count="15">
    <dxf>
      <font>
        <color theme="2" tint="-0.749961851863155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34998626667073579"/>
      </font>
      <fill>
        <patternFill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34998626667073579"/>
      </font>
      <fill>
        <patternFill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C3C4"/>
      <color rgb="FFF6FAC8"/>
      <color rgb="FFDAF2D0"/>
      <color rgb="FFEEF2D0"/>
      <color rgb="FFBDF5C1"/>
      <color rgb="FFF7F2AD"/>
      <color rgb="FFFFBDBF"/>
      <color rgb="FFFFABAD"/>
      <color rgb="FFFF9799"/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1DED4-E274-49D6-B541-988148729D7F}">
  <dimension ref="B3:N16"/>
  <sheetViews>
    <sheetView showGridLines="0" tabSelected="1" workbookViewId="0">
      <selection activeCell="I19" sqref="I19"/>
    </sheetView>
  </sheetViews>
  <sheetFormatPr defaultRowHeight="14.4"/>
  <cols>
    <col min="2" max="2" width="13.109375" bestFit="1" customWidth="1"/>
    <col min="3" max="7" width="11.109375" customWidth="1"/>
    <col min="8" max="8" width="3.6640625" customWidth="1"/>
    <col min="9" max="9" width="13.109375" bestFit="1" customWidth="1"/>
    <col min="10" max="14" width="10.77734375" customWidth="1"/>
  </cols>
  <sheetData>
    <row r="3" spans="2:14">
      <c r="B3" s="41" t="s">
        <v>72</v>
      </c>
      <c r="C3" s="41"/>
      <c r="D3" s="41"/>
      <c r="E3" s="41"/>
      <c r="F3" s="41"/>
      <c r="G3" s="41" t="s">
        <v>7</v>
      </c>
      <c r="H3" s="41"/>
      <c r="I3" s="41"/>
      <c r="J3" s="41"/>
      <c r="K3" s="41"/>
      <c r="M3" s="41" t="s">
        <v>71</v>
      </c>
      <c r="N3" s="41"/>
    </row>
    <row r="4" spans="2:14">
      <c r="B4" s="41" t="s">
        <v>81</v>
      </c>
      <c r="C4" s="41"/>
      <c r="D4" s="41"/>
      <c r="E4" s="41"/>
      <c r="F4" s="41"/>
      <c r="G4" s="41" t="s">
        <v>78</v>
      </c>
      <c r="H4" s="41"/>
      <c r="I4" s="41"/>
      <c r="J4" s="41"/>
      <c r="K4" s="41"/>
      <c r="M4" s="41" t="s">
        <v>80</v>
      </c>
      <c r="N4" s="41"/>
    </row>
    <row r="5" spans="2:14">
      <c r="G5" s="41" t="s">
        <v>79</v>
      </c>
      <c r="H5" s="41"/>
      <c r="I5" s="41"/>
      <c r="J5" s="41"/>
      <c r="K5" s="41"/>
      <c r="M5" t="s">
        <v>83</v>
      </c>
    </row>
    <row r="6" spans="2:14">
      <c r="B6" s="41"/>
      <c r="C6" s="41"/>
      <c r="D6" s="41"/>
      <c r="E6" s="41"/>
      <c r="F6" s="41"/>
      <c r="G6" s="6"/>
    </row>
    <row r="7" spans="2:14">
      <c r="B7" s="5"/>
      <c r="C7" s="5"/>
      <c r="D7" s="5"/>
      <c r="E7" s="5"/>
      <c r="F7" s="5"/>
      <c r="G7" s="6"/>
    </row>
    <row r="8" spans="2:14" ht="28.8">
      <c r="B8" s="40" t="s">
        <v>74</v>
      </c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</row>
    <row r="9" spans="2:14" ht="15" customHeight="1">
      <c r="B9" s="5"/>
      <c r="C9" s="5"/>
      <c r="D9" s="5"/>
      <c r="E9" s="5"/>
      <c r="F9" s="5"/>
      <c r="G9" s="6"/>
    </row>
    <row r="10" spans="2:14">
      <c r="B10" s="42" t="s">
        <v>76</v>
      </c>
      <c r="C10" s="42"/>
      <c r="D10" s="42"/>
      <c r="E10" s="42"/>
      <c r="F10" s="42"/>
      <c r="G10" s="42"/>
      <c r="I10" s="42" t="s">
        <v>77</v>
      </c>
      <c r="J10" s="42"/>
      <c r="K10" s="42"/>
      <c r="L10" s="42"/>
      <c r="M10" s="42"/>
      <c r="N10" s="42"/>
    </row>
    <row r="11" spans="2:14">
      <c r="B11" s="8" t="s">
        <v>0</v>
      </c>
      <c r="C11" s="8" t="s">
        <v>3</v>
      </c>
      <c r="D11" s="8" t="s">
        <v>75</v>
      </c>
      <c r="E11" s="8" t="s">
        <v>4</v>
      </c>
      <c r="F11" s="8" t="s">
        <v>5</v>
      </c>
      <c r="G11" s="8" t="s">
        <v>6</v>
      </c>
      <c r="I11" s="8" t="s">
        <v>9</v>
      </c>
      <c r="J11" s="8" t="s">
        <v>3</v>
      </c>
      <c r="K11" s="8" t="s">
        <v>75</v>
      </c>
      <c r="L11" s="8" t="s">
        <v>4</v>
      </c>
      <c r="M11" s="8" t="s">
        <v>5</v>
      </c>
      <c r="N11" s="8" t="s">
        <v>6</v>
      </c>
    </row>
    <row r="12" spans="2:14">
      <c r="B12" s="2" t="s">
        <v>1</v>
      </c>
      <c r="C12" s="28">
        <f>COUNTA('Test Case'!A4:A23)</f>
        <v>19</v>
      </c>
      <c r="D12" s="28">
        <f>COUNTIF('Test Case'!H4:H23,"In Progress")</f>
        <v>0</v>
      </c>
      <c r="E12" s="28">
        <f>COUNTIF('Test Case'!H4:H23,"Passed")</f>
        <v>18</v>
      </c>
      <c r="F12" s="28">
        <f>COUNTIF('Test Case'!H4:H23,"Failed")</f>
        <v>1</v>
      </c>
      <c r="G12" s="37">
        <f>(E12+F12)/C12</f>
        <v>1</v>
      </c>
      <c r="I12" s="2" t="s">
        <v>18</v>
      </c>
      <c r="J12" s="31">
        <f>COUNTIF('Test Case'!D4:D20,"High")</f>
        <v>14</v>
      </c>
      <c r="K12" s="31">
        <f>COUNTIFS('Test Case'!D4:D20,"High",'Test Case'!H4:H20,"In Progress")</f>
        <v>0</v>
      </c>
      <c r="L12" s="31">
        <f>COUNTIFS('Test Case'!D4:D20,"High",'Test Case'!H4:H20,"Passed")</f>
        <v>13</v>
      </c>
      <c r="M12" s="31">
        <f>COUNTIFS('Test Case'!D4:D20,"High",'Test Case'!H4:H20,"Failed")</f>
        <v>1</v>
      </c>
      <c r="N12" s="34">
        <f>(L12+M12)/J12</f>
        <v>1</v>
      </c>
    </row>
    <row r="13" spans="2:14">
      <c r="B13" s="2" t="s">
        <v>2</v>
      </c>
      <c r="C13" s="28">
        <f>COUNTA('Test Case'!A26:A32)</f>
        <v>7</v>
      </c>
      <c r="D13" s="28">
        <f>COUNTIF('Test Case'!H26:H32,"In Progress")</f>
        <v>0</v>
      </c>
      <c r="E13" s="28">
        <f>COUNTIF('Test Case'!H26:H32,"Passed")</f>
        <v>7</v>
      </c>
      <c r="F13" s="28">
        <f>COUNTIF('Test Case'!H26:H32,"Failed")</f>
        <v>0</v>
      </c>
      <c r="G13" s="37">
        <f>(E13+F13)/C13</f>
        <v>1</v>
      </c>
      <c r="I13" s="2" t="s">
        <v>73</v>
      </c>
      <c r="J13" s="31">
        <f>COUNTIF('Test Case'!D4:D20,"Medium")</f>
        <v>2</v>
      </c>
      <c r="K13" s="31">
        <f>COUNTIFS('Test Case'!D4:D20,"Medium",'Test Case'!H4:H20,"In Progress")</f>
        <v>0</v>
      </c>
      <c r="L13" s="31">
        <f>COUNTIFS('Test Case'!D4:D20,"Medium",'Test Case'!H4:H20,"Passed")</f>
        <v>2</v>
      </c>
      <c r="M13" s="31">
        <f>COUNTIFS('Test Case'!D4:D20,"Medium",'Test Case'!H4:H20,"Failed")</f>
        <v>0</v>
      </c>
      <c r="N13" s="34">
        <f>(L13+M13)/J13</f>
        <v>1</v>
      </c>
    </row>
    <row r="14" spans="2:14">
      <c r="B14" s="4"/>
      <c r="C14" s="29"/>
      <c r="D14" s="29"/>
      <c r="E14" s="29"/>
      <c r="F14" s="29"/>
      <c r="G14" s="38"/>
      <c r="I14" s="2" t="s">
        <v>19</v>
      </c>
      <c r="J14" s="31">
        <f>COUNTIF('Test Case'!D4:D20,"Low")</f>
        <v>1</v>
      </c>
      <c r="K14" s="31">
        <f>COUNTIFS('Test Case'!D4:D20,"Low",'Test Case'!H4:H20,"In Progress")</f>
        <v>0</v>
      </c>
      <c r="L14" s="31">
        <f>COUNTIFS('Test Case'!D4:D20,"Low",'Test Case'!H4:H20,"Passed")</f>
        <v>1</v>
      </c>
      <c r="M14" s="31">
        <f>COUNTIFS('Test Case'!D4:D20,"Low",'Test Case'!H4:H20,"Failed")</f>
        <v>0</v>
      </c>
      <c r="N14" s="34">
        <f>(L14+M14)/J14</f>
        <v>1</v>
      </c>
    </row>
    <row r="15" spans="2:14">
      <c r="B15" s="3" t="s">
        <v>17</v>
      </c>
      <c r="C15" s="30">
        <f>SUM(C12:C13)</f>
        <v>26</v>
      </c>
      <c r="D15" s="30">
        <f>SUM(D12:D13)</f>
        <v>0</v>
      </c>
      <c r="E15" s="30">
        <f>SUM(E12:E13)</f>
        <v>25</v>
      </c>
      <c r="F15" s="30">
        <f>SUM(F12:F13)</f>
        <v>1</v>
      </c>
      <c r="G15" s="39">
        <f>(E15+F15)/C15</f>
        <v>1</v>
      </c>
      <c r="I15" s="4"/>
      <c r="J15" s="32"/>
      <c r="K15" s="32"/>
      <c r="L15" s="32"/>
      <c r="M15" s="32"/>
      <c r="N15" s="35"/>
    </row>
    <row r="16" spans="2:14">
      <c r="I16" s="3" t="s">
        <v>17</v>
      </c>
      <c r="J16" s="33">
        <f>SUM(J12:J14)</f>
        <v>17</v>
      </c>
      <c r="K16" s="33">
        <f>SUM(K12:K14)</f>
        <v>0</v>
      </c>
      <c r="L16" s="33">
        <f>SUM(L12:L14)</f>
        <v>16</v>
      </c>
      <c r="M16" s="33">
        <f>SUM(M12:M14)</f>
        <v>1</v>
      </c>
      <c r="N16" s="36">
        <f>(L16+M16)/J16</f>
        <v>1</v>
      </c>
    </row>
  </sheetData>
  <mergeCells count="11">
    <mergeCell ref="B10:G10"/>
    <mergeCell ref="I10:N10"/>
    <mergeCell ref="B3:F3"/>
    <mergeCell ref="B4:F4"/>
    <mergeCell ref="G3:K3"/>
    <mergeCell ref="B6:F6"/>
    <mergeCell ref="B8:N8"/>
    <mergeCell ref="G4:K4"/>
    <mergeCell ref="G5:K5"/>
    <mergeCell ref="M3:N3"/>
    <mergeCell ref="M4:N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A913A-9E16-480F-9386-16482F3DAD0E}">
  <dimension ref="A1:J45"/>
  <sheetViews>
    <sheetView zoomScale="90" zoomScaleNormal="96" workbookViewId="0">
      <pane ySplit="2" topLeftCell="A25" activePane="bottomLeft" state="frozen"/>
      <selection pane="bottomLeft" activeCell="B35" sqref="B35"/>
    </sheetView>
  </sheetViews>
  <sheetFormatPr defaultRowHeight="14.4"/>
  <cols>
    <col min="1" max="1" width="17.77734375" style="11" customWidth="1"/>
    <col min="2" max="2" width="36" style="12" customWidth="1"/>
    <col min="3" max="3" width="17.77734375" style="22" customWidth="1"/>
    <col min="4" max="4" width="13.33203125" style="11" customWidth="1"/>
    <col min="5" max="6" width="38.5546875" style="12" customWidth="1"/>
    <col min="7" max="7" width="32" style="12" customWidth="1"/>
    <col min="8" max="8" width="13.6640625" style="11" customWidth="1"/>
    <col min="9" max="9" width="17.88671875" customWidth="1"/>
    <col min="10" max="10" width="26.5546875" customWidth="1"/>
  </cols>
  <sheetData>
    <row r="1" spans="1:10">
      <c r="A1" s="15" t="s">
        <v>1</v>
      </c>
      <c r="B1" s="16"/>
      <c r="C1" s="24"/>
      <c r="D1" s="15"/>
      <c r="E1" s="16"/>
      <c r="F1" s="16"/>
      <c r="G1" s="16"/>
      <c r="H1" s="15"/>
      <c r="I1" s="7"/>
      <c r="J1" s="7"/>
    </row>
    <row r="2" spans="1:10">
      <c r="A2" s="17" t="s">
        <v>20</v>
      </c>
      <c r="B2" s="18" t="s">
        <v>10</v>
      </c>
      <c r="C2" s="18" t="s">
        <v>16</v>
      </c>
      <c r="D2" s="17" t="s">
        <v>9</v>
      </c>
      <c r="E2" s="18" t="s">
        <v>11</v>
      </c>
      <c r="F2" s="18" t="s">
        <v>12</v>
      </c>
      <c r="G2" s="18" t="s">
        <v>13</v>
      </c>
      <c r="H2" s="17" t="s">
        <v>14</v>
      </c>
      <c r="I2" s="9" t="s">
        <v>15</v>
      </c>
      <c r="J2" s="9" t="s">
        <v>90</v>
      </c>
    </row>
    <row r="3" spans="1:10">
      <c r="A3" s="13" t="s">
        <v>25</v>
      </c>
      <c r="B3" s="12" t="s">
        <v>89</v>
      </c>
      <c r="C3" s="22" t="s">
        <v>84</v>
      </c>
      <c r="D3" s="13" t="s">
        <v>18</v>
      </c>
      <c r="E3" s="12" t="s">
        <v>87</v>
      </c>
      <c r="F3" s="12" t="s">
        <v>85</v>
      </c>
      <c r="G3" s="12" t="s">
        <v>86</v>
      </c>
      <c r="H3" s="13" t="s">
        <v>4</v>
      </c>
    </row>
    <row r="4" spans="1:10" ht="28.8">
      <c r="A4" s="13" t="s">
        <v>26</v>
      </c>
      <c r="B4" s="21" t="s">
        <v>36</v>
      </c>
      <c r="C4" s="27" t="s">
        <v>23</v>
      </c>
      <c r="D4" s="13" t="s">
        <v>18</v>
      </c>
      <c r="E4" s="26" t="s">
        <v>88</v>
      </c>
      <c r="F4" s="12" t="s">
        <v>82</v>
      </c>
      <c r="G4" s="14" t="s">
        <v>41</v>
      </c>
      <c r="H4" s="13" t="s">
        <v>4</v>
      </c>
      <c r="I4" s="1"/>
    </row>
    <row r="5" spans="1:10" ht="28.8">
      <c r="A5" s="13" t="s">
        <v>28</v>
      </c>
      <c r="B5" s="21" t="s">
        <v>37</v>
      </c>
      <c r="C5" s="27" t="s">
        <v>23</v>
      </c>
      <c r="D5" s="13" t="s">
        <v>18</v>
      </c>
      <c r="E5" s="26" t="s">
        <v>99</v>
      </c>
      <c r="F5" s="12" t="s">
        <v>42</v>
      </c>
      <c r="G5" s="14" t="s">
        <v>43</v>
      </c>
      <c r="H5" s="13" t="s">
        <v>4</v>
      </c>
      <c r="I5" s="1"/>
    </row>
    <row r="6" spans="1:10" ht="28.8">
      <c r="A6" s="13" t="s">
        <v>27</v>
      </c>
      <c r="B6" s="21" t="s">
        <v>141</v>
      </c>
      <c r="C6" s="27" t="s">
        <v>23</v>
      </c>
      <c r="D6" s="13" t="s">
        <v>18</v>
      </c>
      <c r="E6" s="26" t="s">
        <v>88</v>
      </c>
      <c r="F6" s="12" t="s">
        <v>100</v>
      </c>
      <c r="G6" s="12" t="s">
        <v>101</v>
      </c>
      <c r="H6" s="13" t="s">
        <v>5</v>
      </c>
      <c r="I6" s="1"/>
    </row>
    <row r="7" spans="1:10" ht="28.8">
      <c r="A7" s="13" t="s">
        <v>29</v>
      </c>
      <c r="B7" s="21" t="s">
        <v>142</v>
      </c>
      <c r="C7" s="27" t="s">
        <v>23</v>
      </c>
      <c r="D7" s="13" t="s">
        <v>19</v>
      </c>
      <c r="E7" s="12" t="s">
        <v>99</v>
      </c>
      <c r="F7" s="12" t="s">
        <v>97</v>
      </c>
      <c r="G7" s="14" t="s">
        <v>98</v>
      </c>
      <c r="H7" s="13" t="s">
        <v>4</v>
      </c>
      <c r="I7" s="1"/>
    </row>
    <row r="8" spans="1:10">
      <c r="A8" s="13" t="s">
        <v>30</v>
      </c>
      <c r="B8" s="12" t="s">
        <v>91</v>
      </c>
      <c r="C8" s="19" t="s">
        <v>24</v>
      </c>
      <c r="D8" s="13" t="s">
        <v>18</v>
      </c>
      <c r="E8" s="14" t="s">
        <v>92</v>
      </c>
      <c r="F8" s="14" t="s">
        <v>93</v>
      </c>
      <c r="G8" s="12" t="s">
        <v>94</v>
      </c>
      <c r="H8" s="13" t="s">
        <v>4</v>
      </c>
      <c r="I8" s="1"/>
    </row>
    <row r="9" spans="1:10" ht="28.8">
      <c r="A9" s="13" t="s">
        <v>31</v>
      </c>
      <c r="B9" s="10" t="s">
        <v>50</v>
      </c>
      <c r="C9" s="19" t="s">
        <v>24</v>
      </c>
      <c r="D9" s="13" t="s">
        <v>18</v>
      </c>
      <c r="E9" s="14" t="s">
        <v>51</v>
      </c>
      <c r="F9" s="14" t="s">
        <v>52</v>
      </c>
      <c r="G9" s="10" t="s">
        <v>53</v>
      </c>
      <c r="H9" s="13" t="s">
        <v>4</v>
      </c>
      <c r="I9" s="1"/>
    </row>
    <row r="10" spans="1:10" ht="28.8">
      <c r="A10" s="13" t="s">
        <v>32</v>
      </c>
      <c r="B10" s="20" t="s">
        <v>67</v>
      </c>
      <c r="C10" s="19" t="s">
        <v>24</v>
      </c>
      <c r="D10" s="13" t="s">
        <v>73</v>
      </c>
      <c r="E10" s="14" t="s">
        <v>54</v>
      </c>
      <c r="F10" s="14" t="s">
        <v>68</v>
      </c>
      <c r="G10" s="12" t="s">
        <v>69</v>
      </c>
      <c r="H10" s="13" t="s">
        <v>4</v>
      </c>
      <c r="I10" s="1"/>
    </row>
    <row r="11" spans="1:10" ht="28.8">
      <c r="A11" s="13" t="s">
        <v>33</v>
      </c>
      <c r="B11" s="12" t="s">
        <v>105</v>
      </c>
      <c r="C11" s="19" t="s">
        <v>24</v>
      </c>
      <c r="D11" s="13" t="s">
        <v>18</v>
      </c>
      <c r="E11" s="14" t="s">
        <v>55</v>
      </c>
      <c r="F11" s="14" t="s">
        <v>95</v>
      </c>
      <c r="G11" s="12" t="s">
        <v>96</v>
      </c>
      <c r="H11" s="13" t="s">
        <v>4</v>
      </c>
      <c r="I11" s="1"/>
    </row>
    <row r="12" spans="1:10" ht="43.2">
      <c r="A12" s="13" t="s">
        <v>34</v>
      </c>
      <c r="B12" s="20" t="s">
        <v>56</v>
      </c>
      <c r="C12" s="19" t="s">
        <v>24</v>
      </c>
      <c r="D12" s="13" t="s">
        <v>18</v>
      </c>
      <c r="E12" s="14" t="s">
        <v>58</v>
      </c>
      <c r="F12" s="14" t="s">
        <v>57</v>
      </c>
      <c r="G12" s="12" t="s">
        <v>143</v>
      </c>
      <c r="H12" s="13" t="s">
        <v>4</v>
      </c>
      <c r="I12" s="1"/>
    </row>
    <row r="13" spans="1:10" ht="28.8">
      <c r="A13" s="13" t="s">
        <v>35</v>
      </c>
      <c r="B13" t="s">
        <v>109</v>
      </c>
      <c r="C13" s="19" t="s">
        <v>112</v>
      </c>
      <c r="D13" s="13" t="s">
        <v>73</v>
      </c>
      <c r="E13" s="14" t="s">
        <v>111</v>
      </c>
      <c r="F13" s="14" t="s">
        <v>110</v>
      </c>
      <c r="G13" s="12" t="s">
        <v>140</v>
      </c>
      <c r="H13" s="13" t="s">
        <v>4</v>
      </c>
    </row>
    <row r="14" spans="1:10" ht="43.2">
      <c r="A14" s="13" t="s">
        <v>38</v>
      </c>
      <c r="B14" s="14" t="s">
        <v>59</v>
      </c>
      <c r="C14" s="19" t="s">
        <v>24</v>
      </c>
      <c r="D14" s="13" t="s">
        <v>18</v>
      </c>
      <c r="E14" s="14" t="s">
        <v>58</v>
      </c>
      <c r="F14" s="14" t="s">
        <v>60</v>
      </c>
      <c r="G14" s="12" t="s">
        <v>144</v>
      </c>
      <c r="H14" s="13" t="s">
        <v>4</v>
      </c>
    </row>
    <row r="15" spans="1:10" ht="28.8">
      <c r="A15" s="13" t="s">
        <v>39</v>
      </c>
      <c r="B15" s="14" t="s">
        <v>61</v>
      </c>
      <c r="C15" s="19" t="s">
        <v>24</v>
      </c>
      <c r="D15" s="13" t="s">
        <v>18</v>
      </c>
      <c r="E15" s="14" t="s">
        <v>62</v>
      </c>
      <c r="F15" s="14" t="s">
        <v>63</v>
      </c>
      <c r="G15" s="14" t="s">
        <v>145</v>
      </c>
      <c r="H15" s="13" t="s">
        <v>4</v>
      </c>
    </row>
    <row r="16" spans="1:10" ht="52.2" customHeight="1">
      <c r="A16" s="13" t="s">
        <v>40</v>
      </c>
      <c r="B16" s="14" t="s">
        <v>106</v>
      </c>
      <c r="C16" s="19" t="s">
        <v>24</v>
      </c>
      <c r="D16" s="13" t="s">
        <v>18</v>
      </c>
      <c r="E16" s="14" t="s">
        <v>62</v>
      </c>
      <c r="F16" s="14" t="s">
        <v>129</v>
      </c>
      <c r="G16" s="14" t="s">
        <v>146</v>
      </c>
      <c r="H16" s="13" t="s">
        <v>4</v>
      </c>
    </row>
    <row r="17" spans="1:9" ht="52.2" customHeight="1">
      <c r="A17" s="13" t="s">
        <v>44</v>
      </c>
      <c r="B17" s="14" t="s">
        <v>107</v>
      </c>
      <c r="C17" s="19" t="s">
        <v>24</v>
      </c>
      <c r="D17" s="13" t="s">
        <v>18</v>
      </c>
      <c r="E17" s="14" t="s">
        <v>62</v>
      </c>
      <c r="F17" s="14" t="s">
        <v>130</v>
      </c>
      <c r="G17" s="14" t="s">
        <v>131</v>
      </c>
      <c r="H17" s="13" t="s">
        <v>4</v>
      </c>
    </row>
    <row r="18" spans="1:9" ht="52.2" customHeight="1">
      <c r="A18" s="13" t="s">
        <v>45</v>
      </c>
      <c r="B18" s="14" t="s">
        <v>132</v>
      </c>
      <c r="C18" s="19" t="s">
        <v>24</v>
      </c>
      <c r="D18" s="13" t="s">
        <v>18</v>
      </c>
      <c r="E18" s="14" t="s">
        <v>133</v>
      </c>
      <c r="F18" s="14" t="s">
        <v>134</v>
      </c>
      <c r="G18" s="14" t="s">
        <v>135</v>
      </c>
      <c r="H18" s="13" t="s">
        <v>4</v>
      </c>
    </row>
    <row r="19" spans="1:9" ht="52.2" customHeight="1">
      <c r="A19" s="13" t="s">
        <v>46</v>
      </c>
      <c r="B19" s="14" t="s">
        <v>70</v>
      </c>
      <c r="C19" s="19" t="s">
        <v>24</v>
      </c>
      <c r="D19" s="13" t="s">
        <v>18</v>
      </c>
      <c r="E19" s="14" t="s">
        <v>136</v>
      </c>
      <c r="F19" s="14" t="s">
        <v>137</v>
      </c>
      <c r="G19" s="14" t="s">
        <v>147</v>
      </c>
      <c r="H19" s="13" t="s">
        <v>4</v>
      </c>
    </row>
    <row r="20" spans="1:9" ht="52.2" customHeight="1">
      <c r="A20" s="13" t="s">
        <v>47</v>
      </c>
      <c r="B20" s="14" t="s">
        <v>108</v>
      </c>
      <c r="C20" s="19" t="s">
        <v>24</v>
      </c>
      <c r="D20" s="13" t="s">
        <v>18</v>
      </c>
      <c r="E20" s="14" t="s">
        <v>62</v>
      </c>
      <c r="F20" s="14" t="s">
        <v>138</v>
      </c>
      <c r="G20" s="14" t="s">
        <v>139</v>
      </c>
      <c r="H20" s="13" t="s">
        <v>4</v>
      </c>
    </row>
    <row r="21" spans="1:9" ht="28.8">
      <c r="A21" s="13" t="s">
        <v>48</v>
      </c>
      <c r="B21" s="14" t="s">
        <v>148</v>
      </c>
      <c r="C21" s="19" t="s">
        <v>24</v>
      </c>
      <c r="D21" s="13" t="s">
        <v>73</v>
      </c>
      <c r="E21" s="14" t="s">
        <v>62</v>
      </c>
      <c r="F21" s="14" t="s">
        <v>66</v>
      </c>
      <c r="G21" s="14" t="s">
        <v>149</v>
      </c>
      <c r="H21" s="13" t="s">
        <v>4</v>
      </c>
      <c r="I21" s="1"/>
    </row>
    <row r="22" spans="1:9" ht="48.6" customHeight="1">
      <c r="A22" s="13" t="s">
        <v>49</v>
      </c>
      <c r="B22" s="14" t="s">
        <v>150</v>
      </c>
      <c r="C22" s="19" t="s">
        <v>24</v>
      </c>
      <c r="D22" s="13" t="s">
        <v>18</v>
      </c>
      <c r="E22" s="14" t="s">
        <v>62</v>
      </c>
      <c r="F22" s="14" t="s">
        <v>64</v>
      </c>
      <c r="G22" s="14" t="s">
        <v>65</v>
      </c>
      <c r="H22" s="13" t="s">
        <v>4</v>
      </c>
    </row>
    <row r="23" spans="1:9">
      <c r="A23" s="13"/>
      <c r="B23" s="14"/>
      <c r="C23" s="25"/>
      <c r="D23" s="13"/>
      <c r="E23" s="14"/>
      <c r="F23" s="14"/>
      <c r="G23" s="14"/>
      <c r="H23" s="13"/>
      <c r="I23" s="1"/>
    </row>
    <row r="24" spans="1:9">
      <c r="A24" s="15" t="s">
        <v>21</v>
      </c>
      <c r="B24" s="16"/>
      <c r="C24" s="24"/>
      <c r="D24" s="15"/>
      <c r="E24" s="16"/>
      <c r="F24" s="16"/>
      <c r="G24" s="16"/>
      <c r="H24" s="15"/>
      <c r="I24" s="7"/>
    </row>
    <row r="25" spans="1:9">
      <c r="A25" s="17" t="s">
        <v>8</v>
      </c>
      <c r="B25" s="18" t="s">
        <v>10</v>
      </c>
      <c r="C25" s="18" t="s">
        <v>16</v>
      </c>
      <c r="D25" s="17" t="s">
        <v>9</v>
      </c>
      <c r="E25" s="18" t="s">
        <v>11</v>
      </c>
      <c r="F25" s="18" t="s">
        <v>12</v>
      </c>
      <c r="G25" s="18" t="s">
        <v>13</v>
      </c>
      <c r="H25" s="17" t="s">
        <v>14</v>
      </c>
      <c r="I25" s="9" t="s">
        <v>15</v>
      </c>
    </row>
    <row r="26" spans="1:9">
      <c r="A26" s="11" t="s">
        <v>113</v>
      </c>
      <c r="B26" s="43" t="s">
        <v>151</v>
      </c>
      <c r="C26" s="22" t="s">
        <v>154</v>
      </c>
      <c r="D26" s="13" t="s">
        <v>18</v>
      </c>
      <c r="E26" s="12" t="s">
        <v>103</v>
      </c>
      <c r="F26" s="12" t="s">
        <v>122</v>
      </c>
      <c r="G26" s="12" t="s">
        <v>102</v>
      </c>
      <c r="H26" s="13" t="s">
        <v>4</v>
      </c>
    </row>
    <row r="27" spans="1:9" ht="28.8">
      <c r="A27" s="11" t="s">
        <v>114</v>
      </c>
      <c r="B27" s="43" t="s">
        <v>152</v>
      </c>
      <c r="C27" s="22" t="s">
        <v>154</v>
      </c>
      <c r="D27" s="13" t="s">
        <v>73</v>
      </c>
      <c r="E27" s="12" t="s">
        <v>22</v>
      </c>
      <c r="F27" s="23" t="s">
        <v>120</v>
      </c>
      <c r="G27" s="12" t="s">
        <v>121</v>
      </c>
      <c r="H27" s="13" t="s">
        <v>4</v>
      </c>
    </row>
    <row r="28" spans="1:9" ht="43.2">
      <c r="A28" s="11" t="s">
        <v>115</v>
      </c>
      <c r="B28" s="43" t="s">
        <v>104</v>
      </c>
      <c r="C28" s="22" t="s">
        <v>154</v>
      </c>
      <c r="D28" s="13" t="s">
        <v>18</v>
      </c>
      <c r="E28" s="12" t="s">
        <v>99</v>
      </c>
      <c r="F28" s="10" t="s">
        <v>153</v>
      </c>
      <c r="G28" s="12" t="s">
        <v>124</v>
      </c>
      <c r="H28" s="13" t="s">
        <v>4</v>
      </c>
    </row>
    <row r="29" spans="1:9" ht="28.8">
      <c r="A29" s="11" t="s">
        <v>116</v>
      </c>
      <c r="B29" s="43" t="s">
        <v>155</v>
      </c>
      <c r="C29" s="22" t="s">
        <v>154</v>
      </c>
      <c r="D29" s="13" t="s">
        <v>73</v>
      </c>
      <c r="E29" s="23" t="s">
        <v>127</v>
      </c>
      <c r="F29" s="12" t="s">
        <v>123</v>
      </c>
      <c r="G29" s="12" t="s">
        <v>125</v>
      </c>
      <c r="H29" s="13" t="s">
        <v>4</v>
      </c>
    </row>
    <row r="30" spans="1:9">
      <c r="A30" s="11" t="s">
        <v>117</v>
      </c>
      <c r="B30" s="43" t="s">
        <v>156</v>
      </c>
      <c r="C30" s="22" t="s">
        <v>24</v>
      </c>
      <c r="D30" s="13" t="s">
        <v>18</v>
      </c>
      <c r="E30" s="12" t="s">
        <v>128</v>
      </c>
      <c r="F30" s="12" t="s">
        <v>52</v>
      </c>
      <c r="G30" s="12" t="s">
        <v>102</v>
      </c>
      <c r="H30" s="13" t="s">
        <v>4</v>
      </c>
    </row>
    <row r="31" spans="1:9" ht="28.8">
      <c r="A31" s="11" t="s">
        <v>118</v>
      </c>
      <c r="B31" s="43" t="s">
        <v>157</v>
      </c>
      <c r="C31" s="22" t="s">
        <v>24</v>
      </c>
      <c r="D31" s="13" t="s">
        <v>73</v>
      </c>
      <c r="E31" s="12" t="s">
        <v>22</v>
      </c>
      <c r="F31" s="23" t="s">
        <v>120</v>
      </c>
      <c r="G31" s="12" t="s">
        <v>121</v>
      </c>
      <c r="H31" s="13" t="s">
        <v>4</v>
      </c>
    </row>
    <row r="32" spans="1:9" ht="28.8">
      <c r="A32" s="11" t="s">
        <v>119</v>
      </c>
      <c r="B32" s="43" t="s">
        <v>158</v>
      </c>
      <c r="C32" s="22" t="s">
        <v>24</v>
      </c>
      <c r="D32" s="13" t="s">
        <v>73</v>
      </c>
      <c r="E32" s="12" t="s">
        <v>127</v>
      </c>
      <c r="F32" s="12" t="s">
        <v>123</v>
      </c>
      <c r="G32" s="12" t="s">
        <v>126</v>
      </c>
      <c r="H32" s="13" t="s">
        <v>4</v>
      </c>
    </row>
    <row r="33" spans="1:8">
      <c r="D33" s="13"/>
    </row>
    <row r="34" spans="1:8">
      <c r="D34" s="13"/>
    </row>
    <row r="35" spans="1:8">
      <c r="D35" s="13"/>
    </row>
    <row r="36" spans="1:8">
      <c r="D36" s="13"/>
    </row>
    <row r="37" spans="1:8">
      <c r="D37" s="13"/>
    </row>
    <row r="38" spans="1:8">
      <c r="D38" s="13"/>
    </row>
    <row r="39" spans="1:8">
      <c r="D39" s="13"/>
    </row>
    <row r="40" spans="1:8">
      <c r="D40" s="13"/>
    </row>
    <row r="41" spans="1:8">
      <c r="D41" s="13"/>
    </row>
    <row r="42" spans="1:8" s="23" customFormat="1">
      <c r="A42" s="11"/>
      <c r="B42" s="12"/>
      <c r="C42" s="11"/>
      <c r="D42" s="13"/>
      <c r="H42" s="11"/>
    </row>
    <row r="43" spans="1:8">
      <c r="C43" s="11"/>
      <c r="D43" s="13"/>
      <c r="E43" s="23"/>
      <c r="F43" s="23"/>
      <c r="G43" s="23"/>
    </row>
    <row r="44" spans="1:8">
      <c r="B44" s="10"/>
      <c r="C44" s="11"/>
      <c r="D44" s="13"/>
      <c r="E44" s="23"/>
    </row>
    <row r="45" spans="1:8">
      <c r="B45" s="10"/>
      <c r="C45" s="11"/>
      <c r="D45" s="13"/>
      <c r="F45" s="23"/>
      <c r="G45" s="23"/>
    </row>
  </sheetData>
  <phoneticPr fontId="3" type="noConversion"/>
  <conditionalFormatting sqref="D3:D23 D26:D127">
    <cfRule type="containsText" dxfId="14" priority="25" operator="containsText" text="Low">
      <formula>NOT(ISERROR(SEARCH("Low",D3)))</formula>
    </cfRule>
    <cfRule type="containsText" dxfId="13" priority="26" operator="containsText" text="Normal">
      <formula>NOT(ISERROR(SEARCH("Normal",D3)))</formula>
    </cfRule>
    <cfRule type="containsText" dxfId="12" priority="27" operator="containsText" text="High">
      <formula>NOT(ISERROR(SEARCH("High",D3)))</formula>
    </cfRule>
  </conditionalFormatting>
  <conditionalFormatting sqref="D3:D23">
    <cfRule type="containsText" dxfId="11" priority="20" operator="containsText" text="Medium">
      <formula>NOT(ISERROR(SEARCH("Medium",D3)))</formula>
    </cfRule>
  </conditionalFormatting>
  <conditionalFormatting sqref="D27:D45">
    <cfRule type="containsText" dxfId="10" priority="8" operator="containsText" text="Medium">
      <formula>NOT(ISERROR(SEARCH("Medium",D27)))</formula>
    </cfRule>
  </conditionalFormatting>
  <conditionalFormatting sqref="H3:H23">
    <cfRule type="containsText" dxfId="9" priority="21" operator="containsText" text="In Progress">
      <formula>NOT(ISERROR(SEARCH("In Progress",H3)))</formula>
    </cfRule>
    <cfRule type="containsText" dxfId="8" priority="22" operator="containsText" text="Ongoing">
      <formula>NOT(ISERROR(SEARCH("Ongoing",H3)))</formula>
    </cfRule>
    <cfRule type="containsText" dxfId="7" priority="23" operator="containsText" text="Failed">
      <formula>NOT(ISERROR(SEARCH("Failed",H3)))</formula>
    </cfRule>
    <cfRule type="containsText" dxfId="6" priority="24" operator="containsText" text="Passed">
      <formula>NOT(ISERROR(SEARCH("Passed",H3)))</formula>
    </cfRule>
    <cfRule type="containsText" priority="28" operator="containsText" text="Failed">
      <formula>NOT(ISERROR(SEARCH("Failed",H3)))</formula>
    </cfRule>
    <cfRule type="containsText" priority="29" operator="containsText" text="Passed">
      <formula>NOT(ISERROR(SEARCH("Passed",H3)))</formula>
    </cfRule>
    <cfRule type="containsText" dxfId="5" priority="30" operator="containsText" text="Ongoing">
      <formula>NOT(ISERROR(SEARCH("Ongoing",H3)))</formula>
    </cfRule>
  </conditionalFormatting>
  <conditionalFormatting sqref="H26:H127">
    <cfRule type="containsText" dxfId="4" priority="1" operator="containsText" text="In Progress">
      <formula>NOT(ISERROR(SEARCH("In Progress",H26)))</formula>
    </cfRule>
    <cfRule type="containsText" dxfId="3" priority="2" operator="containsText" text="Ongoing">
      <formula>NOT(ISERROR(SEARCH("Ongoing",H26)))</formula>
    </cfRule>
    <cfRule type="containsText" dxfId="2" priority="3" operator="containsText" text="Failed">
      <formula>NOT(ISERROR(SEARCH("Failed",H26)))</formula>
    </cfRule>
    <cfRule type="containsText" dxfId="1" priority="4" operator="containsText" text="Passed">
      <formula>NOT(ISERROR(SEARCH("Passed",H26)))</formula>
    </cfRule>
    <cfRule type="containsText" priority="5" operator="containsText" text="Failed">
      <formula>NOT(ISERROR(SEARCH("Failed",H26)))</formula>
    </cfRule>
    <cfRule type="containsText" priority="6" operator="containsText" text="Passed">
      <formula>NOT(ISERROR(SEARCH("Passed",H26)))</formula>
    </cfRule>
    <cfRule type="containsText" dxfId="0" priority="7" operator="containsText" text="Ongoing">
      <formula>NOT(ISERROR(SEARCH("Ongoing",H26)))</formula>
    </cfRule>
  </conditionalFormatting>
  <dataValidations count="2">
    <dataValidation type="list" allowBlank="1" showInputMessage="1" showErrorMessage="1" sqref="D26:D45 D3:D23" xr:uid="{0FE26807-9ECF-4D34-ABA1-30A971D3D94D}">
      <formula1>"High, Medium, Low"</formula1>
    </dataValidation>
    <dataValidation type="list" allowBlank="1" showInputMessage="1" showErrorMessage="1" sqref="H26:H127 H3:H23" xr:uid="{61782A87-B1D1-4AF2-96DC-868ADEF449B6}">
      <formula1>"In Progress, Passed, Failed"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Mariel Balba</dc:creator>
  <cp:lastModifiedBy>Mariel Balba</cp:lastModifiedBy>
  <dcterms:created xsi:type="dcterms:W3CDTF">2026-07-01T15:00:34Z</dcterms:created>
  <dcterms:modified xsi:type="dcterms:W3CDTF">2026-10-14T09:54:56Z</dcterms:modified>
</cp:coreProperties>
</file>